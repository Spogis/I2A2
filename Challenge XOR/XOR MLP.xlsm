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\Dropbox\GitHub\I2A2\Challenge XOR\"/>
    </mc:Choice>
  </mc:AlternateContent>
  <xr:revisionPtr revIDLastSave="0" documentId="13_ncr:1_{4DE24538-0DDB-4607-B736-E7B7DB475E89}" xr6:coauthVersionLast="47" xr6:coauthVersionMax="47" xr10:uidLastSave="{00000000-0000-0000-0000-000000000000}"/>
  <bookViews>
    <workbookView xWindow="48" yWindow="144" windowWidth="23016" windowHeight="12048" xr2:uid="{00000000-000D-0000-FFFF-FFFF00000000}"/>
  </bookViews>
  <sheets>
    <sheet name="XOR Problem MLP" sheetId="3" r:id="rId1"/>
  </sheets>
  <definedNames>
    <definedName name="solver_adj" localSheetId="0" hidden="1">'XOR Problem MLP'!$P$1:$P$9</definedName>
    <definedName name="solver_cvg" localSheetId="0" hidden="1">0.001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>'XOR Problem MLP'!$P$1:$P$8</definedName>
    <definedName name="solver_lhs2" localSheetId="0">'XOR Problem MLP'!$P$1:$P$8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'XOR Problem MLP'!$P$13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3" l="1"/>
  <c r="H5" i="3" s="1"/>
  <c r="E3" i="3" l="1"/>
  <c r="F3" i="3" s="1"/>
  <c r="G3" i="3"/>
  <c r="H3" i="3" s="1"/>
  <c r="G2" i="3"/>
  <c r="H2" i="3" s="1"/>
  <c r="G4" i="3"/>
  <c r="H4" i="3" s="1"/>
  <c r="P12" i="3"/>
  <c r="E2" i="3"/>
  <c r="F2" i="3" s="1"/>
  <c r="E5" i="3"/>
  <c r="F5" i="3" s="1"/>
  <c r="I5" i="3" s="1"/>
  <c r="J5" i="3" s="1"/>
  <c r="K5" i="3" s="1"/>
  <c r="E4" i="3"/>
  <c r="F4" i="3" s="1"/>
  <c r="I3" i="3" l="1"/>
  <c r="J3" i="3" s="1"/>
  <c r="L3" i="3" s="1"/>
  <c r="I4" i="3"/>
  <c r="J4" i="3" s="1"/>
  <c r="L4" i="3" s="1"/>
  <c r="I2" i="3"/>
  <c r="J2" i="3" s="1"/>
  <c r="K2" i="3" s="1"/>
  <c r="L5" i="3"/>
  <c r="K3" i="3" l="1"/>
  <c r="K4" i="3"/>
  <c r="L2" i="3"/>
  <c r="P10" i="3" l="1"/>
  <c r="P13" i="3" s="1"/>
</calcChain>
</file>

<file path=xl/sharedStrings.xml><?xml version="1.0" encoding="utf-8"?>
<sst xmlns="http://schemas.openxmlformats.org/spreadsheetml/2006/main" count="25" uniqueCount="25">
  <si>
    <t>sq-error</t>
  </si>
  <si>
    <t>H1</t>
  </si>
  <si>
    <t>H2</t>
  </si>
  <si>
    <t>Bias into H1</t>
  </si>
  <si>
    <t>Bias into H2</t>
  </si>
  <si>
    <t>lambda</t>
  </si>
  <si>
    <t>Penalty</t>
  </si>
  <si>
    <t xml:space="preserve">Minimize </t>
  </si>
  <si>
    <t>X1</t>
  </si>
  <si>
    <t>X2</t>
  </si>
  <si>
    <t>Result</t>
  </si>
  <si>
    <t xml:space="preserve">Estimated Score (C) </t>
  </si>
  <si>
    <t>Predicted Result</t>
  </si>
  <si>
    <t>X1 to H1 weight</t>
  </si>
  <si>
    <t>X2 to H1 weight</t>
  </si>
  <si>
    <t>X1 to H2 weight</t>
  </si>
  <si>
    <t>X2 to H2 weight</t>
  </si>
  <si>
    <t>H1 to Out weight</t>
  </si>
  <si>
    <t>H2 to Out weight</t>
  </si>
  <si>
    <t>Bias into Out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</si>
  <si>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error^2</t>
    </r>
  </si>
  <si>
    <t>Learning Rate</t>
  </si>
  <si>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2"/>
        <scheme val="minor"/>
      </rPr>
      <t>H1</t>
    </r>
  </si>
  <si>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2"/>
        <scheme val="minor"/>
      </rPr>
      <t>H2</t>
    </r>
  </si>
  <si>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1"/>
        <charset val="2"/>
        <scheme val="minor"/>
      </rPr>
      <t>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</si>
</sst>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"/>
      <scheme val="minor"/>
    </font>
    <font>
      <b/>
      <sz val="11"/>
      <color theme="1"/>
      <name val="Symbol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7CAAC"/>
        <bgColor rgb="FFF7CAA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E2EFD9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3" fillId="0" borderId="1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3" fillId="5" borderId="2" xfId="0" applyFont="1" applyFill="1" applyBorder="1"/>
    <xf numFmtId="0" fontId="3" fillId="5" borderId="4" xfId="0" applyFont="1" applyFill="1" applyBorder="1"/>
    <xf numFmtId="0" fontId="0" fillId="4" borderId="4" xfId="0" applyFill="1" applyBorder="1"/>
    <xf numFmtId="0" fontId="3" fillId="4" borderId="6" xfId="0" applyFont="1" applyFill="1" applyBorder="1"/>
    <xf numFmtId="0" fontId="6" fillId="6" borderId="8" xfId="0" applyFont="1" applyFill="1" applyBorder="1"/>
    <xf numFmtId="0" fontId="0" fillId="7" borderId="2" xfId="0" applyFill="1" applyBorder="1"/>
    <xf numFmtId="0" fontId="0" fillId="7" borderId="6" xfId="0" applyFill="1" applyBorder="1"/>
    <xf numFmtId="0" fontId="0" fillId="3" borderId="8" xfId="0" applyFill="1" applyBorder="1"/>
    <xf numFmtId="0" fontId="2" fillId="9" borderId="8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164" fontId="4" fillId="7" borderId="7" xfId="0" applyNumberFormat="1" applyFon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0" fontId="7" fillId="10" borderId="10" xfId="0" applyFont="1" applyFill="1" applyBorder="1" applyAlignment="1">
      <alignment horizontal="center"/>
    </xf>
    <xf numFmtId="0" fontId="7" fillId="10" borderId="11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7" fillId="10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164" fontId="3" fillId="0" borderId="14" xfId="0" applyNumberFormat="1" applyFon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4" fontId="3" fillId="0" borderId="19" xfId="0" applyNumberFormat="1" applyFon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2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[0]!Initialization" textlink="">
      <xdr:nvSpPr>
        <xdr:cNvPr id="9" name="Rectangle 8">
          <a:extLst>
            <a:ext uri="{FF2B5EF4-FFF2-40B4-BE49-F238E27FC236}">
              <a16:creationId xmlns:a16="http://schemas.microsoft.com/office/drawing/2014/main" id="{8362317B-B1EA-51F7-D965-92AF6F8FCE62}"/>
            </a:ext>
          </a:extLst>
        </xdr:cNvPr>
        <xdr:cNvSpPr/>
      </xdr:nvSpPr>
      <xdr:spPr>
        <a:xfrm>
          <a:off x="6431280" y="1280160"/>
          <a:ext cx="2346960" cy="365760"/>
        </a:xfrm>
        <a:prstGeom prst="rect">
          <a:avLst/>
        </a:prstGeom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Xavier initialization</a:t>
          </a:r>
          <a:endParaRPr lang="pt-BR" sz="1800"/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12</xdr:col>
      <xdr:colOff>0</xdr:colOff>
      <xdr:row>13</xdr:row>
      <xdr:rowOff>0</xdr:rowOff>
    </xdr:to>
    <xdr:sp macro="[0]!Solve" textlink="">
      <xdr:nvSpPr>
        <xdr:cNvPr id="12" name="Rectangle 11">
          <a:extLst>
            <a:ext uri="{FF2B5EF4-FFF2-40B4-BE49-F238E27FC236}">
              <a16:creationId xmlns:a16="http://schemas.microsoft.com/office/drawing/2014/main" id="{F1926D8B-8176-471B-B393-8BE8D33349B7}"/>
            </a:ext>
          </a:extLst>
        </xdr:cNvPr>
        <xdr:cNvSpPr/>
      </xdr:nvSpPr>
      <xdr:spPr>
        <a:xfrm>
          <a:off x="6431280" y="2011680"/>
          <a:ext cx="2346960" cy="365760"/>
        </a:xfrm>
        <a:prstGeom prst="rect">
          <a:avLst/>
        </a:prstGeom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Solver</a:t>
          </a:r>
          <a:endParaRPr lang="pt-BR" sz="1800"/>
        </a:p>
      </xdr:txBody>
    </xdr:sp>
    <xdr:clientData/>
  </xdr:twoCellAnchor>
  <xdr:twoCellAnchor>
    <xdr:from>
      <xdr:col>2</xdr:col>
      <xdr:colOff>388620</xdr:colOff>
      <xdr:row>8</xdr:row>
      <xdr:rowOff>114300</xdr:rowOff>
    </xdr:from>
    <xdr:to>
      <xdr:col>4</xdr:col>
      <xdr:colOff>182880</xdr:colOff>
      <xdr:row>12</xdr:row>
      <xdr:rowOff>22860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1A9E15B3-D3A7-F38F-7000-8311B90799CD}"/>
            </a:ext>
          </a:extLst>
        </xdr:cNvPr>
        <xdr:cNvSpPr/>
      </xdr:nvSpPr>
      <xdr:spPr>
        <a:xfrm>
          <a:off x="1577340" y="1577340"/>
          <a:ext cx="640080" cy="64008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X1</a:t>
          </a:r>
        </a:p>
      </xdr:txBody>
    </xdr:sp>
    <xdr:clientData/>
  </xdr:twoCellAnchor>
  <xdr:twoCellAnchor>
    <xdr:from>
      <xdr:col>2</xdr:col>
      <xdr:colOff>388620</xdr:colOff>
      <xdr:row>15</xdr:row>
      <xdr:rowOff>0</xdr:rowOff>
    </xdr:from>
    <xdr:to>
      <xdr:col>4</xdr:col>
      <xdr:colOff>182880</xdr:colOff>
      <xdr:row>18</xdr:row>
      <xdr:rowOff>68580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62195621-6F04-45F2-B5E0-007A66C46FF7}"/>
            </a:ext>
          </a:extLst>
        </xdr:cNvPr>
        <xdr:cNvSpPr/>
      </xdr:nvSpPr>
      <xdr:spPr>
        <a:xfrm>
          <a:off x="1577340" y="2758440"/>
          <a:ext cx="640080" cy="64008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X2</a:t>
          </a:r>
        </a:p>
      </xdr:txBody>
    </xdr:sp>
    <xdr:clientData/>
  </xdr:twoCellAnchor>
  <xdr:twoCellAnchor>
    <xdr:from>
      <xdr:col>5</xdr:col>
      <xdr:colOff>281940</xdr:colOff>
      <xdr:row>8</xdr:row>
      <xdr:rowOff>121920</xdr:rowOff>
    </xdr:from>
    <xdr:to>
      <xdr:col>6</xdr:col>
      <xdr:colOff>327660</xdr:colOff>
      <xdr:row>12</xdr:row>
      <xdr:rowOff>30480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B21B6E8D-BDF4-464D-8C36-B39363775C5E}"/>
            </a:ext>
          </a:extLst>
        </xdr:cNvPr>
        <xdr:cNvSpPr/>
      </xdr:nvSpPr>
      <xdr:spPr>
        <a:xfrm>
          <a:off x="2910840" y="1584960"/>
          <a:ext cx="640080" cy="64008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H1</a:t>
          </a:r>
        </a:p>
      </xdr:txBody>
    </xdr:sp>
    <xdr:clientData/>
  </xdr:twoCellAnchor>
  <xdr:twoCellAnchor>
    <xdr:from>
      <xdr:col>5</xdr:col>
      <xdr:colOff>281940</xdr:colOff>
      <xdr:row>15</xdr:row>
      <xdr:rowOff>7620</xdr:rowOff>
    </xdr:from>
    <xdr:to>
      <xdr:col>6</xdr:col>
      <xdr:colOff>327660</xdr:colOff>
      <xdr:row>18</xdr:row>
      <xdr:rowOff>76200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4126244A-8281-4CDB-9E12-1E313A5AAE71}"/>
            </a:ext>
          </a:extLst>
        </xdr:cNvPr>
        <xdr:cNvSpPr/>
      </xdr:nvSpPr>
      <xdr:spPr>
        <a:xfrm>
          <a:off x="2910840" y="2766060"/>
          <a:ext cx="640080" cy="64008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H2</a:t>
          </a:r>
        </a:p>
      </xdr:txBody>
    </xdr:sp>
    <xdr:clientData/>
  </xdr:twoCellAnchor>
  <xdr:twoCellAnchor>
    <xdr:from>
      <xdr:col>7</xdr:col>
      <xdr:colOff>403860</xdr:colOff>
      <xdr:row>11</xdr:row>
      <xdr:rowOff>53340</xdr:rowOff>
    </xdr:from>
    <xdr:to>
      <xdr:col>8</xdr:col>
      <xdr:colOff>441960</xdr:colOff>
      <xdr:row>15</xdr:row>
      <xdr:rowOff>152400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91F3A0AE-06D3-4B80-BF18-226E33B5E875}"/>
            </a:ext>
          </a:extLst>
        </xdr:cNvPr>
        <xdr:cNvSpPr/>
      </xdr:nvSpPr>
      <xdr:spPr>
        <a:xfrm>
          <a:off x="4221480" y="2080260"/>
          <a:ext cx="861060" cy="86106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Out</a:t>
          </a:r>
        </a:p>
      </xdr:txBody>
    </xdr:sp>
    <xdr:clientData/>
  </xdr:twoCellAnchor>
  <xdr:twoCellAnchor>
    <xdr:from>
      <xdr:col>4</xdr:col>
      <xdr:colOff>182880</xdr:colOff>
      <xdr:row>10</xdr:row>
      <xdr:rowOff>68580</xdr:rowOff>
    </xdr:from>
    <xdr:to>
      <xdr:col>5</xdr:col>
      <xdr:colOff>281940</xdr:colOff>
      <xdr:row>10</xdr:row>
      <xdr:rowOff>76200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55ED8DFA-6645-883F-2246-27159725BEDD}"/>
            </a:ext>
          </a:extLst>
        </xdr:cNvPr>
        <xdr:cNvCxnSpPr>
          <a:stCxn id="14" idx="6"/>
          <a:endCxn id="16" idx="2"/>
        </xdr:cNvCxnSpPr>
      </xdr:nvCxnSpPr>
      <xdr:spPr>
        <a:xfrm>
          <a:off x="2217420" y="1897380"/>
          <a:ext cx="693420" cy="7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89142</xdr:colOff>
      <xdr:row>11</xdr:row>
      <xdr:rowOff>112002</xdr:rowOff>
    </xdr:from>
    <xdr:to>
      <xdr:col>5</xdr:col>
      <xdr:colOff>375678</xdr:colOff>
      <xdr:row>15</xdr:row>
      <xdr:rowOff>101358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EDC1AF0-1E05-299C-ADF3-7BA1AB044A4C}"/>
            </a:ext>
          </a:extLst>
        </xdr:cNvPr>
        <xdr:cNvCxnSpPr>
          <a:stCxn id="14" idx="5"/>
          <a:endCxn id="17" idx="1"/>
        </xdr:cNvCxnSpPr>
      </xdr:nvCxnSpPr>
      <xdr:spPr>
        <a:xfrm>
          <a:off x="2123682" y="2123682"/>
          <a:ext cx="880896" cy="73611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182880</xdr:colOff>
      <xdr:row>16</xdr:row>
      <xdr:rowOff>129540</xdr:rowOff>
    </xdr:from>
    <xdr:to>
      <xdr:col>5</xdr:col>
      <xdr:colOff>281940</xdr:colOff>
      <xdr:row>16</xdr:row>
      <xdr:rowOff>137160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CE643E3-BDE0-C9E8-913D-6555C227E106}"/>
            </a:ext>
          </a:extLst>
        </xdr:cNvPr>
        <xdr:cNvCxnSpPr>
          <a:stCxn id="15" idx="6"/>
          <a:endCxn id="17" idx="2"/>
        </xdr:cNvCxnSpPr>
      </xdr:nvCxnSpPr>
      <xdr:spPr>
        <a:xfrm>
          <a:off x="2217420" y="3078480"/>
          <a:ext cx="693420" cy="7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89142</xdr:colOff>
      <xdr:row>11</xdr:row>
      <xdr:rowOff>119622</xdr:rowOff>
    </xdr:from>
    <xdr:to>
      <xdr:col>5</xdr:col>
      <xdr:colOff>375678</xdr:colOff>
      <xdr:row>15</xdr:row>
      <xdr:rowOff>93738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FCB2D31E-9A36-342B-CA26-467FAF8FEBEF}"/>
            </a:ext>
          </a:extLst>
        </xdr:cNvPr>
        <xdr:cNvCxnSpPr>
          <a:stCxn id="15" idx="7"/>
          <a:endCxn id="16" idx="3"/>
        </xdr:cNvCxnSpPr>
      </xdr:nvCxnSpPr>
      <xdr:spPr>
        <a:xfrm flipV="1">
          <a:off x="2123682" y="2131302"/>
          <a:ext cx="880896" cy="7208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327660</xdr:colOff>
      <xdr:row>10</xdr:row>
      <xdr:rowOff>72390</xdr:rowOff>
    </xdr:from>
    <xdr:to>
      <xdr:col>7</xdr:col>
      <xdr:colOff>529959</xdr:colOff>
      <xdr:row>11</xdr:row>
      <xdr:rowOff>179439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9E63C1AD-7672-7867-A4E5-991C245A4104}"/>
            </a:ext>
          </a:extLst>
        </xdr:cNvPr>
        <xdr:cNvCxnSpPr>
          <a:stCxn id="16" idx="6"/>
          <a:endCxn id="18" idx="1"/>
        </xdr:cNvCxnSpPr>
      </xdr:nvCxnSpPr>
      <xdr:spPr>
        <a:xfrm>
          <a:off x="3550920" y="1916430"/>
          <a:ext cx="796659" cy="28992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327660</xdr:colOff>
      <xdr:row>15</xdr:row>
      <xdr:rowOff>26301</xdr:rowOff>
    </xdr:from>
    <xdr:to>
      <xdr:col>7</xdr:col>
      <xdr:colOff>529959</xdr:colOff>
      <xdr:row>16</xdr:row>
      <xdr:rowOff>137160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1864CD6E-B52B-48AF-D7E2-D1900DFD6F1E}"/>
            </a:ext>
          </a:extLst>
        </xdr:cNvPr>
        <xdr:cNvCxnSpPr>
          <a:stCxn id="17" idx="6"/>
          <a:endCxn id="18" idx="3"/>
        </xdr:cNvCxnSpPr>
      </xdr:nvCxnSpPr>
      <xdr:spPr>
        <a:xfrm flipV="1">
          <a:off x="3550920" y="2815221"/>
          <a:ext cx="796659" cy="30135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P1000"/>
  <sheetViews>
    <sheetView tabSelected="1" workbookViewId="0"/>
  </sheetViews>
  <sheetFormatPr defaultColWidth="14.44140625" defaultRowHeight="15" customHeight="1"/>
  <cols>
    <col min="1" max="3" width="8.6640625" customWidth="1"/>
    <col min="4" max="4" width="3.6640625" customWidth="1"/>
    <col min="5" max="7" width="8.6640625" customWidth="1"/>
    <col min="8" max="8" width="12" customWidth="1"/>
    <col min="9" max="9" width="17.5546875" style="2" bestFit="1" customWidth="1"/>
    <col min="10" max="10" width="8.5546875" bestFit="1" customWidth="1"/>
    <col min="11" max="11" width="20" customWidth="1"/>
    <col min="12" max="12" width="14.21875" bestFit="1" customWidth="1"/>
    <col min="13" max="13" width="14.5546875" customWidth="1"/>
    <col min="14" max="14" width="8.6640625" customWidth="1"/>
    <col min="15" max="15" width="17.5546875" customWidth="1"/>
    <col min="16" max="16" width="12.6640625" style="2" customWidth="1"/>
    <col min="17" max="30" width="8.6640625" customWidth="1"/>
  </cols>
  <sheetData>
    <row r="1" spans="1:16" thickBot="1">
      <c r="A1" s="22" t="s">
        <v>8</v>
      </c>
      <c r="B1" s="23" t="s">
        <v>9</v>
      </c>
      <c r="C1" s="23" t="s">
        <v>10</v>
      </c>
      <c r="D1" s="24"/>
      <c r="E1" s="23" t="s">
        <v>1</v>
      </c>
      <c r="F1" s="25" t="s">
        <v>22</v>
      </c>
      <c r="G1" s="23" t="s">
        <v>2</v>
      </c>
      <c r="H1" s="25" t="s">
        <v>23</v>
      </c>
      <c r="I1" s="23" t="s">
        <v>11</v>
      </c>
      <c r="J1" s="25" t="s">
        <v>24</v>
      </c>
      <c r="K1" s="23" t="s">
        <v>0</v>
      </c>
      <c r="L1" s="26" t="s">
        <v>12</v>
      </c>
      <c r="O1" s="5" t="s">
        <v>13</v>
      </c>
      <c r="P1" s="16">
        <v>4.1782609656273886</v>
      </c>
    </row>
    <row r="2" spans="1:16" ht="14.4">
      <c r="A2" s="27">
        <v>0</v>
      </c>
      <c r="B2" s="28">
        <v>0</v>
      </c>
      <c r="C2" s="28">
        <v>0</v>
      </c>
      <c r="D2" s="28"/>
      <c r="E2" s="29">
        <f>P$1*A2+P$2*B2+P$7</f>
        <v>-6.7089649014282324</v>
      </c>
      <c r="F2" s="30">
        <f>1/(1+EXP(-E2))</f>
        <v>1.2184398085139589E-3</v>
      </c>
      <c r="G2" s="30">
        <f>P$3*A2+P$4*B2+P$8</f>
        <v>-1.64755811047541</v>
      </c>
      <c r="H2" s="30">
        <f>1/(1+EXP(-G2))</f>
        <v>0.16143925109150417</v>
      </c>
      <c r="I2" s="30">
        <f>F2*P$5+H2*P$6+P$9</f>
        <v>-2.2731310121423913</v>
      </c>
      <c r="J2" s="30">
        <f>1/(1+EXP(-I2))</f>
        <v>9.3372820812709797E-2</v>
      </c>
      <c r="K2" s="30">
        <f>(C2-J2)^2</f>
        <v>8.7184836665224127E-3</v>
      </c>
      <c r="L2" s="31">
        <f t="shared" ref="L2:L5" si="0">IF(J2&gt;0.5,1,0)</f>
        <v>0</v>
      </c>
      <c r="O2" s="6" t="s">
        <v>14</v>
      </c>
      <c r="P2" s="17">
        <v>4.1782614385960208</v>
      </c>
    </row>
    <row r="3" spans="1:16" ht="14.4">
      <c r="A3" s="32">
        <v>0</v>
      </c>
      <c r="B3" s="1">
        <v>1</v>
      </c>
      <c r="C3" s="1">
        <v>1</v>
      </c>
      <c r="D3" s="1"/>
      <c r="E3" s="3">
        <f t="shared" ref="E3:E5" si="1">P$1*A3+P$2*B3+P$7</f>
        <v>-2.5307034628322116</v>
      </c>
      <c r="F3" s="4">
        <f t="shared" ref="F3:F5" si="2">1/(1+EXP(-E3))</f>
        <v>7.3733587830456568E-2</v>
      </c>
      <c r="G3" s="4">
        <f t="shared" ref="G3:G5" si="3">P$3*A3+P$4*B3+P$8</f>
        <v>2.5307058773540616</v>
      </c>
      <c r="H3" s="4">
        <f t="shared" ref="H3:H5" si="4">1/(1+EXP(-G3))</f>
        <v>0.92626657707384186</v>
      </c>
      <c r="I3" s="4">
        <f>F3*P$5+H3*P$6+P$9</f>
        <v>2.2731318093144872</v>
      </c>
      <c r="J3" s="4">
        <f>1/(1+EXP(-I3))</f>
        <v>0.90662724667134376</v>
      </c>
      <c r="K3" s="4">
        <f>(C3-J3)^2</f>
        <v>8.7184710641740864E-3</v>
      </c>
      <c r="L3" s="33">
        <f t="shared" si="0"/>
        <v>1</v>
      </c>
      <c r="O3" s="6" t="s">
        <v>15</v>
      </c>
      <c r="P3" s="17">
        <v>4.1782635643233936</v>
      </c>
    </row>
    <row r="4" spans="1:16" ht="14.4">
      <c r="A4" s="32">
        <v>1</v>
      </c>
      <c r="B4" s="1">
        <v>0</v>
      </c>
      <c r="C4" s="1">
        <v>1</v>
      </c>
      <c r="D4" s="1"/>
      <c r="E4" s="3">
        <f t="shared" si="1"/>
        <v>-2.5307039358008439</v>
      </c>
      <c r="F4" s="4">
        <f t="shared" si="2"/>
        <v>7.3733555528150002E-2</v>
      </c>
      <c r="G4" s="4">
        <f t="shared" si="3"/>
        <v>2.5307054538479834</v>
      </c>
      <c r="H4" s="4">
        <f t="shared" si="4"/>
        <v>0.92626654814972431</v>
      </c>
      <c r="I4" s="4">
        <f>F4*P$5+H4*P$6+P$9</f>
        <v>2.27313183149835</v>
      </c>
      <c r="J4" s="4">
        <f>1/(1+EXP(-I4))</f>
        <v>0.90662724854930266</v>
      </c>
      <c r="K4" s="4">
        <f>(C4-J4)^2</f>
        <v>8.7184707134737027E-3</v>
      </c>
      <c r="L4" s="33">
        <f t="shared" si="0"/>
        <v>1</v>
      </c>
      <c r="O4" s="6" t="s">
        <v>16</v>
      </c>
      <c r="P4" s="17">
        <v>4.1782639878294718</v>
      </c>
    </row>
    <row r="5" spans="1:16" thickBot="1">
      <c r="A5" s="34">
        <v>1</v>
      </c>
      <c r="B5" s="35">
        <v>1</v>
      </c>
      <c r="C5" s="35">
        <v>0</v>
      </c>
      <c r="D5" s="35"/>
      <c r="E5" s="36">
        <f t="shared" si="1"/>
        <v>1.6475575027951761</v>
      </c>
      <c r="F5" s="37">
        <f t="shared" si="2"/>
        <v>0.83856066664278317</v>
      </c>
      <c r="G5" s="37">
        <f t="shared" si="3"/>
        <v>6.7089694416774552</v>
      </c>
      <c r="H5" s="37">
        <f t="shared" si="4"/>
        <v>0.99878156571675358</v>
      </c>
      <c r="I5" s="37">
        <f>F5*P$5+H5*P$6+P$9</f>
        <v>-2.2731312889025772</v>
      </c>
      <c r="J5" s="37">
        <f>1/(1+EXP(-I5))</f>
        <v>9.3372797383762349E-2</v>
      </c>
      <c r="K5" s="37">
        <f>(C5-J5)^2</f>
        <v>8.7184792912691367E-3</v>
      </c>
      <c r="L5" s="38">
        <f t="shared" si="0"/>
        <v>0</v>
      </c>
      <c r="O5" s="6" t="s">
        <v>17</v>
      </c>
      <c r="P5" s="17">
        <v>-6.5667826531971789</v>
      </c>
    </row>
    <row r="6" spans="1:16" ht="14.4">
      <c r="O6" s="6" t="s">
        <v>18</v>
      </c>
      <c r="P6" s="17">
        <v>6.5667816341820684</v>
      </c>
    </row>
    <row r="7" spans="1:16" ht="14.4">
      <c r="O7" s="7" t="s">
        <v>3</v>
      </c>
      <c r="P7" s="17">
        <v>-6.7089649014282324</v>
      </c>
    </row>
    <row r="8" spans="1:16" ht="14.4">
      <c r="O8" s="7" t="s">
        <v>4</v>
      </c>
      <c r="P8" s="17">
        <v>-1.64755811047541</v>
      </c>
    </row>
    <row r="9" spans="1:16" thickBot="1">
      <c r="O9" s="8" t="s">
        <v>19</v>
      </c>
      <c r="P9" s="18">
        <v>-3.325266091847674</v>
      </c>
    </row>
    <row r="10" spans="1:16" thickBot="1">
      <c r="O10" s="9" t="s">
        <v>20</v>
      </c>
      <c r="P10" s="19">
        <f>SUM(K2:K5)</f>
        <v>3.4873904735439339E-2</v>
      </c>
    </row>
    <row r="11" spans="1:16" ht="14.4">
      <c r="O11" s="10" t="s">
        <v>5</v>
      </c>
      <c r="P11" s="15">
        <v>0.01</v>
      </c>
    </row>
    <row r="12" spans="1:16" thickBot="1">
      <c r="O12" s="11" t="s">
        <v>6</v>
      </c>
      <c r="P12" s="20">
        <f>P11*SUMSQ(P1:P6)/12</f>
        <v>0.1300639709637095</v>
      </c>
    </row>
    <row r="13" spans="1:16" thickBot="1">
      <c r="O13" s="12" t="s">
        <v>7</v>
      </c>
      <c r="P13" s="21">
        <f>P10+P12</f>
        <v>0.16493787569914883</v>
      </c>
    </row>
    <row r="14" spans="1:16" ht="15" customHeight="1" thickBot="1"/>
    <row r="15" spans="1:16" ht="15" customHeight="1" thickBot="1">
      <c r="O15" s="13" t="s">
        <v>21</v>
      </c>
      <c r="P15" s="14">
        <v>1E-3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XOR Problem MLP</vt:lpstr>
      <vt:lpstr>'XOR Problem MLP'!solver_lhs1</vt:lpstr>
      <vt:lpstr>'XOR Problem MLP'!solver_lhs2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Spogis</dc:creator>
  <cp:lastModifiedBy>Nicolas Spogis</cp:lastModifiedBy>
  <dcterms:created xsi:type="dcterms:W3CDTF">2024-06-06T22:06:36Z</dcterms:created>
  <dcterms:modified xsi:type="dcterms:W3CDTF">2024-06-06T22:27:34Z</dcterms:modified>
</cp:coreProperties>
</file>