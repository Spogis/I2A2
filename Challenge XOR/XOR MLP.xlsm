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\Dropbox\GitHub\I2A2\Challenge XOR\"/>
    </mc:Choice>
  </mc:AlternateContent>
  <xr:revisionPtr revIDLastSave="0" documentId="13_ncr:1_{78877DDB-E6C5-4E57-BE6B-428A8E0FCF53}" xr6:coauthVersionLast="47" xr6:coauthVersionMax="47" xr10:uidLastSave="{00000000-0000-0000-0000-000000000000}"/>
  <bookViews>
    <workbookView xWindow="156" yWindow="48" windowWidth="23016" windowHeight="12048" xr2:uid="{00000000-000D-0000-FFFF-FFFF00000000}"/>
  </bookViews>
  <sheets>
    <sheet name="XOR Problem MLP (Clean)" sheetId="4" r:id="rId1"/>
    <sheet name="XOR Problem MLP" sheetId="3" r:id="rId2"/>
  </sheets>
  <definedNames>
    <definedName name="solver_adj" localSheetId="1" hidden="1">'XOR Problem MLP'!$P$1:$P$9</definedName>
    <definedName name="solver_adj" localSheetId="0" hidden="1">'XOR Problem MLP (Clean)'!$P$1:$P$9</definedName>
    <definedName name="solver_cvg" localSheetId="1" hidden="1">0.001</definedName>
    <definedName name="solver_cvg" localSheetId="0" hidden="1">0.01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>'XOR Problem MLP'!$P$1:$P$8</definedName>
    <definedName name="solver_lhs1" localSheetId="0">'XOR Problem MLP (Clean)'!$P$1:$P$8</definedName>
    <definedName name="solver_lhs2" localSheetId="1">'XOR Problem MLP'!$P$1:$P$8</definedName>
    <definedName name="solver_lhs2" localSheetId="0">'XOR Problem MLP (Clean)'!$P$1:$P$8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2</definedName>
    <definedName name="solver_neg" localSheetId="0" hidden="1">2</definedName>
    <definedName name="solver_nod" localSheetId="1" hidden="1">2147483647</definedName>
    <definedName name="solver_nod" localSheetId="0" hidden="1">2147483647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'XOR Problem MLP'!$P$13</definedName>
    <definedName name="solver_opt" localSheetId="0" hidden="1">'XOR Problem MLP (Clean)'!$P$10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2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4" l="1"/>
  <c r="H5" i="4" s="1"/>
  <c r="G4" i="4"/>
  <c r="H4" i="4" s="1"/>
  <c r="G3" i="4"/>
  <c r="H3" i="4" s="1"/>
  <c r="G2" i="4"/>
  <c r="H2" i="4" s="1"/>
  <c r="E5" i="4"/>
  <c r="F5" i="4" s="1"/>
  <c r="E4" i="4"/>
  <c r="F4" i="4" s="1"/>
  <c r="E3" i="4"/>
  <c r="F3" i="4" s="1"/>
  <c r="E2" i="4"/>
  <c r="F2" i="4" s="1"/>
  <c r="G5" i="3"/>
  <c r="H5" i="3" s="1" a="1"/>
  <c r="H5" i="3" s="1"/>
  <c r="I5" i="4" l="1"/>
  <c r="J5" i="4" s="1"/>
  <c r="K5" i="4" s="1"/>
  <c r="I3" i="4"/>
  <c r="I4" i="4"/>
  <c r="J4" i="4" s="1"/>
  <c r="L4" i="4" s="1"/>
  <c r="I2" i="4"/>
  <c r="J2" i="4" s="1"/>
  <c r="L2" i="4" s="1"/>
  <c r="E3" i="3"/>
  <c r="F3" i="3" s="1" a="1"/>
  <c r="F3" i="3" s="1"/>
  <c r="G3" i="3"/>
  <c r="H3" i="3" s="1" a="1"/>
  <c r="H3" i="3" s="1"/>
  <c r="G2" i="3"/>
  <c r="H2" i="3" s="1" a="1"/>
  <c r="H2" i="3" s="1"/>
  <c r="G4" i="3"/>
  <c r="H4" i="3" s="1" a="1"/>
  <c r="H4" i="3" s="1"/>
  <c r="P12" i="3"/>
  <c r="E2" i="3"/>
  <c r="F2" i="3" s="1" a="1"/>
  <c r="F2" i="3" s="1"/>
  <c r="E5" i="3"/>
  <c r="F5" i="3" s="1" a="1"/>
  <c r="F5" i="3" s="1"/>
  <c r="E4" i="3"/>
  <c r="F4" i="3" s="1" a="1"/>
  <c r="F4" i="3" s="1"/>
  <c r="L5" i="4" l="1"/>
  <c r="K4" i="4"/>
  <c r="K2" i="4"/>
  <c r="I5" i="3"/>
  <c r="J5" i="3" s="1" a="1"/>
  <c r="J5" i="3" s="1"/>
  <c r="I3" i="3"/>
  <c r="J3" i="3" s="1" a="1"/>
  <c r="J3" i="3" s="1"/>
  <c r="I4" i="3"/>
  <c r="J4" i="3" s="1" a="1"/>
  <c r="J4" i="3" s="1"/>
  <c r="I2" i="3"/>
  <c r="J2" i="3" s="1" a="1"/>
  <c r="J2" i="3" s="1"/>
  <c r="L5" i="3" l="1"/>
  <c r="K2" i="3"/>
  <c r="L4" i="3"/>
  <c r="L3" i="3"/>
  <c r="L2" i="3" l="1"/>
  <c r="K3" i="3"/>
  <c r="K4" i="3"/>
  <c r="K5" i="3"/>
  <c r="P10" i="3" l="1"/>
  <c r="P13" i="3" s="1"/>
  <c r="J3" i="4" l="1"/>
  <c r="K3" i="4" s="1"/>
  <c r="P10" i="4" s="1"/>
  <c r="L3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<sst xmlns="http://schemas.openxmlformats.org/spreadsheetml/2006/main" count="48" uniqueCount="27">
  <si>
    <t>sq-error</t>
  </si>
  <si>
    <t>H1</t>
  </si>
  <si>
    <t>H2</t>
  </si>
  <si>
    <t>Bias into H1</t>
  </si>
  <si>
    <t>Bias into H2</t>
  </si>
  <si>
    <t>Penalty</t>
  </si>
  <si>
    <t xml:space="preserve">Minimize </t>
  </si>
  <si>
    <t>X1</t>
  </si>
  <si>
    <t>X2</t>
  </si>
  <si>
    <t>Result</t>
  </si>
  <si>
    <t>Predicted Result</t>
  </si>
  <si>
    <t>X1 to H1 weight</t>
  </si>
  <si>
    <t>X2 to H1 weight</t>
  </si>
  <si>
    <t>X1 to H2 weight</t>
  </si>
  <si>
    <t>X2 to H2 weight</t>
  </si>
  <si>
    <t>H1 to Out weight</t>
  </si>
  <si>
    <t>H2 to Out weight</t>
  </si>
  <si>
    <t>Bias into Out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</si>
  <si>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error^2</t>
    </r>
  </si>
  <si>
    <t>Learning Rate</t>
  </si>
  <si>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2"/>
        <scheme val="minor"/>
      </rPr>
      <t>H1</t>
    </r>
  </si>
  <si>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2"/>
        <scheme val="minor"/>
      </rPr>
      <t>H2</t>
    </r>
  </si>
  <si>
    <t>Out</t>
  </si>
  <si>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1"/>
        <charset val="2"/>
        <scheme val="minor"/>
      </rPr>
      <t>Out</t>
    </r>
  </si>
  <si>
    <t>Lambda</t>
  </si>
  <si>
    <t>Activation Function</t>
  </si>
  <si>
    <t>Tanh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</si>
</sst>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"/>
      <scheme val="minor"/>
    </font>
    <font>
      <b/>
      <sz val="11"/>
      <color theme="1"/>
      <name val="Symbol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F7CAAC"/>
        <bgColor rgb="FFF7CAA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E2EFD9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5" fillId="5" borderId="3" xfId="0" applyFont="1" applyFill="1" applyBorder="1"/>
    <xf numFmtId="0" fontId="0" fillId="4" borderId="3" xfId="0" applyFill="1" applyBorder="1"/>
    <xf numFmtId="0" fontId="5" fillId="4" borderId="5" xfId="0" applyFont="1" applyFill="1" applyBorder="1"/>
    <xf numFmtId="0" fontId="8" fillId="6" borderId="7" xfId="0" applyFont="1" applyFill="1" applyBorder="1"/>
    <xf numFmtId="0" fontId="0" fillId="7" borderId="5" xfId="0" applyFill="1" applyBorder="1"/>
    <xf numFmtId="0" fontId="0" fillId="3" borderId="7" xfId="0" applyFill="1" applyBorder="1"/>
    <xf numFmtId="0" fontId="0" fillId="8" borderId="2" xfId="0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6" borderId="8" xfId="0" applyNumberFormat="1" applyFill="1" applyBorder="1" applyAlignment="1">
      <alignment horizontal="center"/>
    </xf>
    <xf numFmtId="164" fontId="6" fillId="7" borderId="6" xfId="0" applyNumberFormat="1" applyFon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7" borderId="1" xfId="0" applyFont="1" applyFill="1" applyBorder="1"/>
    <xf numFmtId="0" fontId="3" fillId="5" borderId="1" xfId="0" applyFont="1" applyFill="1" applyBorder="1"/>
    <xf numFmtId="0" fontId="4" fillId="9" borderId="10" xfId="0" applyFon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9" fillId="10" borderId="12" xfId="0" applyFont="1" applyFill="1" applyBorder="1" applyAlignment="1">
      <alignment horizontal="center"/>
    </xf>
    <xf numFmtId="0" fontId="9" fillId="10" borderId="13" xfId="0" applyFont="1" applyFill="1" applyBorder="1" applyAlignment="1">
      <alignment horizontal="center"/>
    </xf>
    <xf numFmtId="0" fontId="5" fillId="10" borderId="13" xfId="0" applyFont="1" applyFill="1" applyBorder="1" applyAlignment="1">
      <alignment horizontal="center"/>
    </xf>
    <xf numFmtId="0" fontId="10" fillId="10" borderId="13" xfId="0" applyFont="1" applyFill="1" applyBorder="1" applyAlignment="1">
      <alignment horizontal="center"/>
    </xf>
    <xf numFmtId="0" fontId="9" fillId="10" borderId="14" xfId="0" applyFont="1" applyFill="1" applyBorder="1" applyAlignment="1">
      <alignment horizontal="center"/>
    </xf>
    <xf numFmtId="164" fontId="5" fillId="0" borderId="9" xfId="0" applyNumberFormat="1" applyFon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6" xfId="0" applyBorder="1" applyAlignment="1">
      <alignment horizontal="center"/>
    </xf>
    <xf numFmtId="164" fontId="5" fillId="0" borderId="16" xfId="0" applyNumberFormat="1" applyFon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3" fillId="5" borderId="9" xfId="0" applyFont="1" applyFill="1" applyBorder="1"/>
    <xf numFmtId="164" fontId="0" fillId="2" borderId="9" xfId="0" applyNumberFormat="1" applyFill="1" applyBorder="1" applyAlignment="1">
      <alignment horizontal="center"/>
    </xf>
    <xf numFmtId="0" fontId="5" fillId="5" borderId="9" xfId="0" applyFont="1" applyFill="1" applyBorder="1"/>
    <xf numFmtId="0" fontId="0" fillId="4" borderId="9" xfId="0" applyFill="1" applyBorder="1"/>
    <xf numFmtId="0" fontId="5" fillId="4" borderId="9" xfId="0" applyFont="1" applyFill="1" applyBorder="1"/>
    <xf numFmtId="0" fontId="8" fillId="6" borderId="9" xfId="0" applyFont="1" applyFill="1" applyBorder="1"/>
    <xf numFmtId="164" fontId="0" fillId="6" borderId="9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297180</xdr:colOff>
      <xdr:row>7</xdr:row>
      <xdr:rowOff>22860</xdr:rowOff>
    </xdr:from>
    <xdr:to>
      <xdr:col>13</xdr:col>
      <xdr:colOff>83820</xdr:colOff>
      <xdr:row>20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706CA1A-8047-4C13-A07B-F8FC33834BC2}"/>
            </a:ext>
          </a:extLst>
        </xdr:cNvPr>
        <xdr:cNvSpPr/>
      </xdr:nvSpPr>
      <xdr:spPr>
        <a:xfrm>
          <a:off x="7056120" y="1318260"/>
          <a:ext cx="1341120" cy="2484120"/>
        </a:xfrm>
        <a:prstGeom prst="roundRect">
          <a:avLst/>
        </a:prstGeom>
        <a:ln w="12700">
          <a:solidFill>
            <a:schemeClr val="tx2"/>
          </a:solidFill>
          <a:prstDash val="lgDash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Hidden Layer</a:t>
          </a:r>
        </a:p>
      </xdr:txBody>
    </xdr:sp>
    <xdr:clientData/>
  </xdr:twoCellAnchor>
  <xdr:twoCellAnchor>
    <xdr:from>
      <xdr:col>9</xdr:col>
      <xdr:colOff>441960</xdr:colOff>
      <xdr:row>8</xdr:row>
      <xdr:rowOff>144780</xdr:rowOff>
    </xdr:from>
    <xdr:to>
      <xdr:col>10</xdr:col>
      <xdr:colOff>434340</xdr:colOff>
      <xdr:row>12</xdr:row>
      <xdr:rowOff>30480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A88D9D3D-3910-475A-904D-EB671DE178D9}"/>
            </a:ext>
          </a:extLst>
        </xdr:cNvPr>
        <xdr:cNvSpPr/>
      </xdr:nvSpPr>
      <xdr:spPr>
        <a:xfrm>
          <a:off x="5905500" y="1623060"/>
          <a:ext cx="640080" cy="61722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X1</a:t>
          </a:r>
        </a:p>
      </xdr:txBody>
    </xdr:sp>
    <xdr:clientData/>
  </xdr:twoCellAnchor>
  <xdr:twoCellAnchor>
    <xdr:from>
      <xdr:col>9</xdr:col>
      <xdr:colOff>441960</xdr:colOff>
      <xdr:row>15</xdr:row>
      <xdr:rowOff>30480</xdr:rowOff>
    </xdr:from>
    <xdr:to>
      <xdr:col>10</xdr:col>
      <xdr:colOff>434340</xdr:colOff>
      <xdr:row>18</xdr:row>
      <xdr:rowOff>99060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D6A39577-E021-46F3-8322-F43976B8B665}"/>
            </a:ext>
          </a:extLst>
        </xdr:cNvPr>
        <xdr:cNvSpPr/>
      </xdr:nvSpPr>
      <xdr:spPr>
        <a:xfrm>
          <a:off x="5905500" y="2804160"/>
          <a:ext cx="640080" cy="64008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X2</a:t>
          </a:r>
        </a:p>
      </xdr:txBody>
    </xdr:sp>
    <xdr:clientData/>
  </xdr:twoCellAnchor>
  <xdr:twoCellAnchor>
    <xdr:from>
      <xdr:col>11</xdr:col>
      <xdr:colOff>617220</xdr:colOff>
      <xdr:row>8</xdr:row>
      <xdr:rowOff>152400</xdr:rowOff>
    </xdr:from>
    <xdr:to>
      <xdr:col>12</xdr:col>
      <xdr:colOff>251460</xdr:colOff>
      <xdr:row>12</xdr:row>
      <xdr:rowOff>38100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EB9A37E-10BC-487A-A926-0164E8E5E004}"/>
            </a:ext>
          </a:extLst>
        </xdr:cNvPr>
        <xdr:cNvSpPr/>
      </xdr:nvSpPr>
      <xdr:spPr>
        <a:xfrm>
          <a:off x="7376160" y="1630680"/>
          <a:ext cx="640080" cy="61722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H1</a:t>
          </a:r>
        </a:p>
      </xdr:txBody>
    </xdr:sp>
    <xdr:clientData/>
  </xdr:twoCellAnchor>
  <xdr:twoCellAnchor>
    <xdr:from>
      <xdr:col>11</xdr:col>
      <xdr:colOff>617220</xdr:colOff>
      <xdr:row>15</xdr:row>
      <xdr:rowOff>38100</xdr:rowOff>
    </xdr:from>
    <xdr:to>
      <xdr:col>12</xdr:col>
      <xdr:colOff>251460</xdr:colOff>
      <xdr:row>18</xdr:row>
      <xdr:rowOff>106680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C89E396C-8F28-445C-A093-A663BE9DA52A}"/>
            </a:ext>
          </a:extLst>
        </xdr:cNvPr>
        <xdr:cNvSpPr/>
      </xdr:nvSpPr>
      <xdr:spPr>
        <a:xfrm>
          <a:off x="7376160" y="2811780"/>
          <a:ext cx="640080" cy="64008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H2</a:t>
          </a:r>
        </a:p>
      </xdr:txBody>
    </xdr:sp>
    <xdr:clientData/>
  </xdr:twoCellAnchor>
  <xdr:twoCellAnchor>
    <xdr:from>
      <xdr:col>13</xdr:col>
      <xdr:colOff>480060</xdr:colOff>
      <xdr:row>11</xdr:row>
      <xdr:rowOff>83820</xdr:rowOff>
    </xdr:from>
    <xdr:to>
      <xdr:col>14</xdr:col>
      <xdr:colOff>708660</xdr:colOff>
      <xdr:row>15</xdr:row>
      <xdr:rowOff>144780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FF3654AC-97C4-4A68-8B06-DFE49F4537C9}"/>
            </a:ext>
          </a:extLst>
        </xdr:cNvPr>
        <xdr:cNvSpPr/>
      </xdr:nvSpPr>
      <xdr:spPr>
        <a:xfrm>
          <a:off x="8793480" y="2110740"/>
          <a:ext cx="822960" cy="80772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Out</a:t>
          </a:r>
        </a:p>
      </xdr:txBody>
    </xdr:sp>
    <xdr:clientData/>
  </xdr:twoCellAnchor>
  <xdr:twoCellAnchor>
    <xdr:from>
      <xdr:col>10</xdr:col>
      <xdr:colOff>434340</xdr:colOff>
      <xdr:row>10</xdr:row>
      <xdr:rowOff>83820</xdr:rowOff>
    </xdr:from>
    <xdr:to>
      <xdr:col>11</xdr:col>
      <xdr:colOff>617220</xdr:colOff>
      <xdr:row>10</xdr:row>
      <xdr:rowOff>91440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871A5CEB-9C82-41EF-92AA-41FC0D1C884A}"/>
            </a:ext>
          </a:extLst>
        </xdr:cNvPr>
        <xdr:cNvCxnSpPr>
          <a:stCxn id="5" idx="6"/>
          <a:endCxn id="7" idx="2"/>
        </xdr:cNvCxnSpPr>
      </xdr:nvCxnSpPr>
      <xdr:spPr>
        <a:xfrm>
          <a:off x="6545580" y="1927860"/>
          <a:ext cx="830580" cy="7620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340602</xdr:colOff>
      <xdr:row>11</xdr:row>
      <xdr:rowOff>127242</xdr:rowOff>
    </xdr:from>
    <xdr:to>
      <xdr:col>11</xdr:col>
      <xdr:colOff>710958</xdr:colOff>
      <xdr:row>15</xdr:row>
      <xdr:rowOff>131838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00978CE-43C8-4B7F-B22C-88B33117B616}"/>
            </a:ext>
          </a:extLst>
        </xdr:cNvPr>
        <xdr:cNvCxnSpPr>
          <a:stCxn id="5" idx="5"/>
          <a:endCxn id="8" idx="1"/>
        </xdr:cNvCxnSpPr>
      </xdr:nvCxnSpPr>
      <xdr:spPr>
        <a:xfrm>
          <a:off x="6451842" y="2154162"/>
          <a:ext cx="1018056" cy="751356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434340</xdr:colOff>
      <xdr:row>16</xdr:row>
      <xdr:rowOff>160020</xdr:rowOff>
    </xdr:from>
    <xdr:to>
      <xdr:col>11</xdr:col>
      <xdr:colOff>617220</xdr:colOff>
      <xdr:row>16</xdr:row>
      <xdr:rowOff>167640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7FE2407F-2757-41E1-B656-42320881BF46}"/>
            </a:ext>
          </a:extLst>
        </xdr:cNvPr>
        <xdr:cNvCxnSpPr>
          <a:stCxn id="6" idx="6"/>
          <a:endCxn id="8" idx="2"/>
        </xdr:cNvCxnSpPr>
      </xdr:nvCxnSpPr>
      <xdr:spPr>
        <a:xfrm>
          <a:off x="6545580" y="3124200"/>
          <a:ext cx="830580" cy="7620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340602</xdr:colOff>
      <xdr:row>11</xdr:row>
      <xdr:rowOff>134862</xdr:rowOff>
    </xdr:from>
    <xdr:to>
      <xdr:col>11</xdr:col>
      <xdr:colOff>710958</xdr:colOff>
      <xdr:row>15</xdr:row>
      <xdr:rowOff>124218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1B0EE43E-4A74-4DE7-918B-0F21CEA579F4}"/>
            </a:ext>
          </a:extLst>
        </xdr:cNvPr>
        <xdr:cNvCxnSpPr>
          <a:stCxn id="6" idx="7"/>
          <a:endCxn id="7" idx="3"/>
        </xdr:cNvCxnSpPr>
      </xdr:nvCxnSpPr>
      <xdr:spPr>
        <a:xfrm flipV="1">
          <a:off x="6451842" y="2161782"/>
          <a:ext cx="1018056" cy="736116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251460</xdr:colOff>
      <xdr:row>10</xdr:row>
      <xdr:rowOff>91440</xdr:rowOff>
    </xdr:from>
    <xdr:to>
      <xdr:col>14</xdr:col>
      <xdr:colOff>6220</xdr:colOff>
      <xdr:row>12</xdr:row>
      <xdr:rowOff>21460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CB58901-781D-4CEC-96EF-1D614D76B150}"/>
            </a:ext>
          </a:extLst>
        </xdr:cNvPr>
        <xdr:cNvCxnSpPr>
          <a:stCxn id="7" idx="6"/>
          <a:endCxn id="9" idx="1"/>
        </xdr:cNvCxnSpPr>
      </xdr:nvCxnSpPr>
      <xdr:spPr>
        <a:xfrm>
          <a:off x="8016240" y="1935480"/>
          <a:ext cx="897760" cy="295780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251460</xdr:colOff>
      <xdr:row>15</xdr:row>
      <xdr:rowOff>24260</xdr:rowOff>
    </xdr:from>
    <xdr:to>
      <xdr:col>14</xdr:col>
      <xdr:colOff>6220</xdr:colOff>
      <xdr:row>16</xdr:row>
      <xdr:rowOff>167640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41706A85-43D2-4FD2-8D4F-ABF6AB9C5353}"/>
            </a:ext>
          </a:extLst>
        </xdr:cNvPr>
        <xdr:cNvCxnSpPr>
          <a:stCxn id="8" idx="6"/>
          <a:endCxn id="9" idx="3"/>
        </xdr:cNvCxnSpPr>
      </xdr:nvCxnSpPr>
      <xdr:spPr>
        <a:xfrm flipV="1">
          <a:off x="8016240" y="2797940"/>
          <a:ext cx="897760" cy="333880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22860</xdr:colOff>
      <xdr:row>6</xdr:row>
      <xdr:rowOff>37032</xdr:rowOff>
    </xdr:from>
    <xdr:to>
      <xdr:col>9</xdr:col>
      <xdr:colOff>22860</xdr:colOff>
      <xdr:row>18</xdr:row>
      <xdr:rowOff>190499</xdr:rowOff>
    </xdr:to>
    <xdr:pic>
      <xdr:nvPicPr>
        <xdr:cNvPr id="18" name="Picture 17" descr="Cover image for Demystifying the XOR problem">
          <a:extLst>
            <a:ext uri="{FF2B5EF4-FFF2-40B4-BE49-F238E27FC236}">
              <a16:creationId xmlns:a16="http://schemas.microsoft.com/office/drawing/2014/main" id="{4AD5CF2B-4B05-4373-9E67-BEC7121BE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" y="1149552"/>
          <a:ext cx="5463540" cy="2386127"/>
        </a:xfrm>
        <a:prstGeom prst="rect">
          <a:avLst/>
        </a:prstGeom>
        <a:noFill/>
        <a:ln w="28575">
          <a:solidFill>
            <a:schemeClr val="tx2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106680</xdr:colOff>
      <xdr:row>10</xdr:row>
      <xdr:rowOff>137160</xdr:rowOff>
    </xdr:from>
    <xdr:to>
      <xdr:col>6</xdr:col>
      <xdr:colOff>571500</xdr:colOff>
      <xdr:row>16</xdr:row>
      <xdr:rowOff>114300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4285AA5A-39F5-35F7-B9CA-EBF1EF805524}"/>
            </a:ext>
          </a:extLst>
        </xdr:cNvPr>
        <xdr:cNvCxnSpPr/>
      </xdr:nvCxnSpPr>
      <xdr:spPr>
        <a:xfrm>
          <a:off x="2979420" y="1981200"/>
          <a:ext cx="1112520" cy="10972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68580</xdr:colOff>
      <xdr:row>8</xdr:row>
      <xdr:rowOff>114300</xdr:rowOff>
    </xdr:from>
    <xdr:to>
      <xdr:col>7</xdr:col>
      <xdr:colOff>533400</xdr:colOff>
      <xdr:row>14</xdr:row>
      <xdr:rowOff>137160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B16AD4C2-9224-2EF0-81B8-D11334FBF68A}"/>
            </a:ext>
          </a:extLst>
        </xdr:cNvPr>
        <xdr:cNvCxnSpPr/>
      </xdr:nvCxnSpPr>
      <xdr:spPr>
        <a:xfrm>
          <a:off x="3589020" y="1592580"/>
          <a:ext cx="1112520" cy="112776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609600</xdr:colOff>
      <xdr:row>6</xdr:row>
      <xdr:rowOff>175260</xdr:rowOff>
    </xdr:from>
    <xdr:to>
      <xdr:col>7</xdr:col>
      <xdr:colOff>7620</xdr:colOff>
      <xdr:row>20</xdr:row>
      <xdr:rowOff>45720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69000DE-424A-06D8-9904-30B6F32D6CA7}"/>
            </a:ext>
          </a:extLst>
        </xdr:cNvPr>
        <xdr:cNvSpPr/>
      </xdr:nvSpPr>
      <xdr:spPr>
        <a:xfrm>
          <a:off x="2834640" y="1287780"/>
          <a:ext cx="1341120" cy="2514600"/>
        </a:xfrm>
        <a:prstGeom prst="roundRect">
          <a:avLst/>
        </a:prstGeom>
        <a:ln w="12700">
          <a:solidFill>
            <a:schemeClr val="tx2"/>
          </a:solidFill>
          <a:prstDash val="lgDash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Hidden Layer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[0]!Initialization" textlink="">
      <xdr:nvSpPr>
        <xdr:cNvPr id="9" name="Rectangle 8">
          <a:extLst>
            <a:ext uri="{FF2B5EF4-FFF2-40B4-BE49-F238E27FC236}">
              <a16:creationId xmlns:a16="http://schemas.microsoft.com/office/drawing/2014/main" id="{8362317B-B1EA-51F7-D965-92AF6F8FCE62}"/>
            </a:ext>
          </a:extLst>
        </xdr:cNvPr>
        <xdr:cNvSpPr/>
      </xdr:nvSpPr>
      <xdr:spPr>
        <a:xfrm>
          <a:off x="6431280" y="1280160"/>
          <a:ext cx="2346960" cy="365760"/>
        </a:xfrm>
        <a:prstGeom prst="rect">
          <a:avLst/>
        </a:prstGeom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Xavier initialization</a:t>
          </a:r>
          <a:endParaRPr lang="pt-BR" sz="1800"/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12</xdr:col>
      <xdr:colOff>0</xdr:colOff>
      <xdr:row>13</xdr:row>
      <xdr:rowOff>0</xdr:rowOff>
    </xdr:to>
    <xdr:sp macro="[0]!Solve" textlink="">
      <xdr:nvSpPr>
        <xdr:cNvPr id="12" name="Rectangle 11">
          <a:extLst>
            <a:ext uri="{FF2B5EF4-FFF2-40B4-BE49-F238E27FC236}">
              <a16:creationId xmlns:a16="http://schemas.microsoft.com/office/drawing/2014/main" id="{F1926D8B-8176-471B-B393-8BE8D33349B7}"/>
            </a:ext>
          </a:extLst>
        </xdr:cNvPr>
        <xdr:cNvSpPr/>
      </xdr:nvSpPr>
      <xdr:spPr>
        <a:xfrm>
          <a:off x="6431280" y="2011680"/>
          <a:ext cx="2346960" cy="365760"/>
        </a:xfrm>
        <a:prstGeom prst="rect">
          <a:avLst/>
        </a:prstGeom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Solver</a:t>
          </a:r>
          <a:endParaRPr lang="pt-BR" sz="1800"/>
        </a:p>
      </xdr:txBody>
    </xdr:sp>
    <xdr:clientData/>
  </xdr:twoCellAnchor>
  <xdr:twoCellAnchor>
    <xdr:from>
      <xdr:col>2</xdr:col>
      <xdr:colOff>388620</xdr:colOff>
      <xdr:row>8</xdr:row>
      <xdr:rowOff>114300</xdr:rowOff>
    </xdr:from>
    <xdr:to>
      <xdr:col>4</xdr:col>
      <xdr:colOff>99060</xdr:colOff>
      <xdr:row>12</xdr:row>
      <xdr:rowOff>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1A9E15B3-D3A7-F38F-7000-8311B90799CD}"/>
            </a:ext>
          </a:extLst>
        </xdr:cNvPr>
        <xdr:cNvSpPr/>
      </xdr:nvSpPr>
      <xdr:spPr>
        <a:xfrm>
          <a:off x="1684020" y="1592580"/>
          <a:ext cx="640080" cy="64008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X1</a:t>
          </a:r>
        </a:p>
      </xdr:txBody>
    </xdr:sp>
    <xdr:clientData/>
  </xdr:twoCellAnchor>
  <xdr:twoCellAnchor>
    <xdr:from>
      <xdr:col>2</xdr:col>
      <xdr:colOff>388620</xdr:colOff>
      <xdr:row>15</xdr:row>
      <xdr:rowOff>0</xdr:rowOff>
    </xdr:from>
    <xdr:to>
      <xdr:col>4</xdr:col>
      <xdr:colOff>99060</xdr:colOff>
      <xdr:row>18</xdr:row>
      <xdr:rowOff>68580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62195621-6F04-45F2-B5E0-007A66C46FF7}"/>
            </a:ext>
          </a:extLst>
        </xdr:cNvPr>
        <xdr:cNvSpPr/>
      </xdr:nvSpPr>
      <xdr:spPr>
        <a:xfrm>
          <a:off x="1684020" y="2804160"/>
          <a:ext cx="640080" cy="64008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X2</a:t>
          </a:r>
        </a:p>
      </xdr:txBody>
    </xdr:sp>
    <xdr:clientData/>
  </xdr:twoCellAnchor>
  <xdr:twoCellAnchor>
    <xdr:from>
      <xdr:col>5</xdr:col>
      <xdr:colOff>281940</xdr:colOff>
      <xdr:row>8</xdr:row>
      <xdr:rowOff>121920</xdr:rowOff>
    </xdr:from>
    <xdr:to>
      <xdr:col>6</xdr:col>
      <xdr:colOff>274320</xdr:colOff>
      <xdr:row>12</xdr:row>
      <xdr:rowOff>7620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B21B6E8D-BDF4-464D-8C36-B39363775C5E}"/>
            </a:ext>
          </a:extLst>
        </xdr:cNvPr>
        <xdr:cNvSpPr/>
      </xdr:nvSpPr>
      <xdr:spPr>
        <a:xfrm>
          <a:off x="3154680" y="1600200"/>
          <a:ext cx="640080" cy="64008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H1</a:t>
          </a:r>
        </a:p>
      </xdr:txBody>
    </xdr:sp>
    <xdr:clientData/>
  </xdr:twoCellAnchor>
  <xdr:twoCellAnchor>
    <xdr:from>
      <xdr:col>5</xdr:col>
      <xdr:colOff>281940</xdr:colOff>
      <xdr:row>15</xdr:row>
      <xdr:rowOff>7620</xdr:rowOff>
    </xdr:from>
    <xdr:to>
      <xdr:col>6</xdr:col>
      <xdr:colOff>274320</xdr:colOff>
      <xdr:row>18</xdr:row>
      <xdr:rowOff>76200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4126244A-8281-4CDB-9E12-1E313A5AAE71}"/>
            </a:ext>
          </a:extLst>
        </xdr:cNvPr>
        <xdr:cNvSpPr/>
      </xdr:nvSpPr>
      <xdr:spPr>
        <a:xfrm>
          <a:off x="3154680" y="2811780"/>
          <a:ext cx="640080" cy="64008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H2</a:t>
          </a:r>
        </a:p>
      </xdr:txBody>
    </xdr:sp>
    <xdr:clientData/>
  </xdr:twoCellAnchor>
  <xdr:twoCellAnchor>
    <xdr:from>
      <xdr:col>7</xdr:col>
      <xdr:colOff>403860</xdr:colOff>
      <xdr:row>11</xdr:row>
      <xdr:rowOff>53340</xdr:rowOff>
    </xdr:from>
    <xdr:to>
      <xdr:col>8</xdr:col>
      <xdr:colOff>579120</xdr:colOff>
      <xdr:row>15</xdr:row>
      <xdr:rowOff>114300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91F3A0AE-06D3-4B80-BF18-226E33B5E875}"/>
            </a:ext>
          </a:extLst>
        </xdr:cNvPr>
        <xdr:cNvSpPr/>
      </xdr:nvSpPr>
      <xdr:spPr>
        <a:xfrm>
          <a:off x="4572000" y="2095500"/>
          <a:ext cx="822960" cy="82296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Out</a:t>
          </a:r>
        </a:p>
      </xdr:txBody>
    </xdr:sp>
    <xdr:clientData/>
  </xdr:twoCellAnchor>
  <xdr:twoCellAnchor>
    <xdr:from>
      <xdr:col>4</xdr:col>
      <xdr:colOff>99060</xdr:colOff>
      <xdr:row>10</xdr:row>
      <xdr:rowOff>53340</xdr:rowOff>
    </xdr:from>
    <xdr:to>
      <xdr:col>5</xdr:col>
      <xdr:colOff>281940</xdr:colOff>
      <xdr:row>10</xdr:row>
      <xdr:rowOff>60960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55ED8DFA-6645-883F-2246-27159725BEDD}"/>
            </a:ext>
          </a:extLst>
        </xdr:cNvPr>
        <xdr:cNvCxnSpPr>
          <a:stCxn id="14" idx="6"/>
          <a:endCxn id="16" idx="2"/>
        </xdr:cNvCxnSpPr>
      </xdr:nvCxnSpPr>
      <xdr:spPr>
        <a:xfrm>
          <a:off x="2324100" y="1912620"/>
          <a:ext cx="830580" cy="7620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5322</xdr:colOff>
      <xdr:row>11</xdr:row>
      <xdr:rowOff>96762</xdr:rowOff>
    </xdr:from>
    <xdr:to>
      <xdr:col>5</xdr:col>
      <xdr:colOff>375678</xdr:colOff>
      <xdr:row>15</xdr:row>
      <xdr:rowOff>101358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EDC1AF0-1E05-299C-ADF3-7BA1AB044A4C}"/>
            </a:ext>
          </a:extLst>
        </xdr:cNvPr>
        <xdr:cNvCxnSpPr>
          <a:stCxn id="14" idx="5"/>
          <a:endCxn id="17" idx="1"/>
        </xdr:cNvCxnSpPr>
      </xdr:nvCxnSpPr>
      <xdr:spPr>
        <a:xfrm>
          <a:off x="2230362" y="2138922"/>
          <a:ext cx="1018056" cy="766596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16</xdr:row>
      <xdr:rowOff>129540</xdr:rowOff>
    </xdr:from>
    <xdr:to>
      <xdr:col>5</xdr:col>
      <xdr:colOff>281940</xdr:colOff>
      <xdr:row>16</xdr:row>
      <xdr:rowOff>137160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CE643E3-BDE0-C9E8-913D-6555C227E106}"/>
            </a:ext>
          </a:extLst>
        </xdr:cNvPr>
        <xdr:cNvCxnSpPr>
          <a:stCxn id="15" idx="6"/>
          <a:endCxn id="17" idx="2"/>
        </xdr:cNvCxnSpPr>
      </xdr:nvCxnSpPr>
      <xdr:spPr>
        <a:xfrm>
          <a:off x="2324100" y="3124200"/>
          <a:ext cx="830580" cy="7620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5322</xdr:colOff>
      <xdr:row>11</xdr:row>
      <xdr:rowOff>104382</xdr:rowOff>
    </xdr:from>
    <xdr:to>
      <xdr:col>5</xdr:col>
      <xdr:colOff>375678</xdr:colOff>
      <xdr:row>15</xdr:row>
      <xdr:rowOff>93738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FCB2D31E-9A36-342B-CA26-467FAF8FEBEF}"/>
            </a:ext>
          </a:extLst>
        </xdr:cNvPr>
        <xdr:cNvCxnSpPr>
          <a:stCxn id="15" idx="7"/>
          <a:endCxn id="16" idx="3"/>
        </xdr:cNvCxnSpPr>
      </xdr:nvCxnSpPr>
      <xdr:spPr>
        <a:xfrm flipV="1">
          <a:off x="2230362" y="2146542"/>
          <a:ext cx="1018056" cy="751356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274320</xdr:colOff>
      <xdr:row>10</xdr:row>
      <xdr:rowOff>60960</xdr:rowOff>
    </xdr:from>
    <xdr:to>
      <xdr:col>7</xdr:col>
      <xdr:colOff>524380</xdr:colOff>
      <xdr:row>11</xdr:row>
      <xdr:rowOff>173860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9E63C1AD-7672-7867-A4E5-991C245A4104}"/>
            </a:ext>
          </a:extLst>
        </xdr:cNvPr>
        <xdr:cNvCxnSpPr>
          <a:stCxn id="16" idx="6"/>
          <a:endCxn id="18" idx="1"/>
        </xdr:cNvCxnSpPr>
      </xdr:nvCxnSpPr>
      <xdr:spPr>
        <a:xfrm>
          <a:off x="3794760" y="1920240"/>
          <a:ext cx="897760" cy="295780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274320</xdr:colOff>
      <xdr:row>14</xdr:row>
      <xdr:rowOff>184280</xdr:rowOff>
    </xdr:from>
    <xdr:to>
      <xdr:col>7</xdr:col>
      <xdr:colOff>524380</xdr:colOff>
      <xdr:row>16</xdr:row>
      <xdr:rowOff>137160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1864CD6E-B52B-48AF-D7E2-D1900DFD6F1E}"/>
            </a:ext>
          </a:extLst>
        </xdr:cNvPr>
        <xdr:cNvCxnSpPr>
          <a:stCxn id="17" idx="6"/>
          <a:endCxn id="18" idx="3"/>
        </xdr:cNvCxnSpPr>
      </xdr:nvCxnSpPr>
      <xdr:spPr>
        <a:xfrm flipV="1">
          <a:off x="3794760" y="2797940"/>
          <a:ext cx="897760" cy="333880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220980</xdr:colOff>
      <xdr:row>10</xdr:row>
      <xdr:rowOff>76200</xdr:rowOff>
    </xdr:from>
    <xdr:ext cx="1036887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BB66F52-A0A0-7E29-9BD3-BE4A17250C17}"/>
            </a:ext>
          </a:extLst>
        </xdr:cNvPr>
        <xdr:cNvSpPr txBox="1"/>
      </xdr:nvSpPr>
      <xdr:spPr>
        <a:xfrm>
          <a:off x="11201400" y="1935480"/>
          <a:ext cx="1036887" cy="26456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Regularization </a:t>
          </a:r>
          <a:endParaRPr lang="pt-BR" sz="1100"/>
        </a:p>
      </xdr:txBody>
    </xdr:sp>
    <xdr:clientData/>
  </xdr:oneCellAnchor>
  <xdr:twoCellAnchor>
    <xdr:from>
      <xdr:col>16</xdr:col>
      <xdr:colOff>68580</xdr:colOff>
      <xdr:row>10</xdr:row>
      <xdr:rowOff>7620</xdr:rowOff>
    </xdr:from>
    <xdr:to>
      <xdr:col>16</xdr:col>
      <xdr:colOff>175260</xdr:colOff>
      <xdr:row>12</xdr:row>
      <xdr:rowOff>22860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C8EE1773-A9CC-652C-76B0-FFB84E65B3C5}"/>
            </a:ext>
          </a:extLst>
        </xdr:cNvPr>
        <xdr:cNvSpPr/>
      </xdr:nvSpPr>
      <xdr:spPr>
        <a:xfrm>
          <a:off x="11498580" y="1866900"/>
          <a:ext cx="106680" cy="388620"/>
        </a:xfrm>
        <a:prstGeom prst="rightBrac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0EB94-92CA-477B-A411-533D3F65E2F6}">
  <sheetPr codeName="Sheet2"/>
  <dimension ref="A1:P1000"/>
  <sheetViews>
    <sheetView tabSelected="1" workbookViewId="0"/>
  </sheetViews>
  <sheetFormatPr defaultColWidth="14.44140625" defaultRowHeight="15" customHeight="1"/>
  <cols>
    <col min="1" max="3" width="9.44140625" customWidth="1"/>
    <col min="4" max="4" width="4.109375" customWidth="1"/>
    <col min="5" max="8" width="9.44140625" customWidth="1"/>
    <col min="9" max="9" width="9.44140625" style="1" customWidth="1"/>
    <col min="10" max="11" width="9.44140625" customWidth="1"/>
    <col min="12" max="12" width="14.6640625" bestFit="1" customWidth="1"/>
    <col min="13" max="13" width="8" customWidth="1"/>
    <col min="14" max="14" width="8.6640625" customWidth="1"/>
    <col min="15" max="15" width="17.5546875" customWidth="1"/>
    <col min="16" max="16" width="12.6640625" style="1" customWidth="1"/>
    <col min="17" max="30" width="8.6640625" customWidth="1"/>
  </cols>
  <sheetData>
    <row r="1" spans="1:16" thickBot="1">
      <c r="A1" s="23" t="s">
        <v>7</v>
      </c>
      <c r="B1" s="24" t="s">
        <v>8</v>
      </c>
      <c r="C1" s="24" t="s">
        <v>9</v>
      </c>
      <c r="D1" s="25"/>
      <c r="E1" s="24" t="s">
        <v>1</v>
      </c>
      <c r="F1" s="26" t="s">
        <v>20</v>
      </c>
      <c r="G1" s="24" t="s">
        <v>2</v>
      </c>
      <c r="H1" s="26" t="s">
        <v>21</v>
      </c>
      <c r="I1" s="24" t="s">
        <v>22</v>
      </c>
      <c r="J1" s="26" t="s">
        <v>23</v>
      </c>
      <c r="K1" s="24" t="s">
        <v>0</v>
      </c>
      <c r="L1" s="27" t="s">
        <v>10</v>
      </c>
      <c r="O1" s="42" t="s">
        <v>11</v>
      </c>
      <c r="P1" s="43">
        <v>11.269096443545632</v>
      </c>
    </row>
    <row r="2" spans="1:16" ht="14.4">
      <c r="A2" s="30">
        <v>0</v>
      </c>
      <c r="B2" s="31">
        <v>0</v>
      </c>
      <c r="C2" s="31">
        <v>0</v>
      </c>
      <c r="D2" s="31"/>
      <c r="E2" s="32">
        <f>(A2*$P$1+B2*$P$2+$P$7)</f>
        <v>0.33113994065288982</v>
      </c>
      <c r="F2" s="33">
        <f>TANH(E2)</f>
        <v>0.31954469210170705</v>
      </c>
      <c r="G2" s="33">
        <f>A2*$P$3+B2*$P$4+$P$8</f>
        <v>-2.9133784888057606</v>
      </c>
      <c r="H2" s="33">
        <f>TANH(G2)</f>
        <v>-0.99412208447240591</v>
      </c>
      <c r="I2" s="33">
        <f>F2*$P$5+H2*$P$6+$P$9</f>
        <v>3.5608849641710627E-3</v>
      </c>
      <c r="J2" s="33">
        <f>TANH(I2)</f>
        <v>3.560869913690261E-3</v>
      </c>
      <c r="K2" s="33">
        <f>(C2-J2)^2</f>
        <v>1.2679794542224486E-5</v>
      </c>
      <c r="L2" s="34">
        <f>IF(J2&gt;0.5,1,0)</f>
        <v>0</v>
      </c>
      <c r="O2" s="44" t="s">
        <v>12</v>
      </c>
      <c r="P2" s="43">
        <v>12.626456382091366</v>
      </c>
    </row>
    <row r="3" spans="1:16" ht="14.4">
      <c r="A3" s="35">
        <v>0</v>
      </c>
      <c r="B3" s="20">
        <v>1</v>
      </c>
      <c r="C3" s="20">
        <v>1</v>
      </c>
      <c r="D3" s="20"/>
      <c r="E3" s="28">
        <f t="shared" ref="E3:E5" si="0">(A3*$P$1+B3*$P$2+$P$7)</f>
        <v>12.957596322744255</v>
      </c>
      <c r="F3" s="29">
        <f t="shared" ref="F3:F5" si="1">TANH(E3)</f>
        <v>0.99999999998887745</v>
      </c>
      <c r="G3" s="29">
        <f t="shared" ref="G3:G5" si="2">A3*$P$3+B3*$P$4+$P$8</f>
        <v>-1.1307260136964963</v>
      </c>
      <c r="H3" s="29">
        <f t="shared" ref="H3:H5" si="3">TANH(G3)</f>
        <v>-0.81126759239523405</v>
      </c>
      <c r="I3" s="29">
        <f t="shared" ref="I3:I5" si="4">F3*$P$5+H3*$P$6+$P$9</f>
        <v>2.6777741852622232</v>
      </c>
      <c r="J3" s="29">
        <f t="shared" ref="J3:J5" si="5">TANH(I3)</f>
        <v>0.9906006238253664</v>
      </c>
      <c r="K3" s="29">
        <f t="shared" ref="K3:K5" si="6">(C3-J3)^2</f>
        <v>8.8348272472269765E-5</v>
      </c>
      <c r="L3" s="36">
        <f t="shared" ref="L3:L5" si="7">IF(J3&gt;0.5,1,0)</f>
        <v>1</v>
      </c>
      <c r="O3" s="44" t="s">
        <v>13</v>
      </c>
      <c r="P3" s="43">
        <v>1.9615005242860488</v>
      </c>
    </row>
    <row r="4" spans="1:16" ht="14.4">
      <c r="A4" s="35">
        <v>1</v>
      </c>
      <c r="B4" s="20">
        <v>0</v>
      </c>
      <c r="C4" s="20">
        <v>1</v>
      </c>
      <c r="D4" s="20"/>
      <c r="E4" s="28">
        <f t="shared" si="0"/>
        <v>11.600236384198521</v>
      </c>
      <c r="F4" s="29">
        <f t="shared" si="1"/>
        <v>0.99999999983204502</v>
      </c>
      <c r="G4" s="29">
        <f t="shared" si="2"/>
        <v>-0.95187796451971174</v>
      </c>
      <c r="H4" s="29">
        <f t="shared" si="3"/>
        <v>-0.74063206479794441</v>
      </c>
      <c r="I4" s="29">
        <f t="shared" si="4"/>
        <v>2.551271405492288</v>
      </c>
      <c r="J4" s="29">
        <f t="shared" si="5"/>
        <v>0.98791098968554381</v>
      </c>
      <c r="K4" s="29">
        <f t="shared" si="6"/>
        <v>1.4614417038302826E-4</v>
      </c>
      <c r="L4" s="36">
        <f t="shared" si="7"/>
        <v>1</v>
      </c>
      <c r="O4" s="44" t="s">
        <v>14</v>
      </c>
      <c r="P4" s="43">
        <v>1.7826524751092643</v>
      </c>
    </row>
    <row r="5" spans="1:16" thickBot="1">
      <c r="A5" s="37">
        <v>1</v>
      </c>
      <c r="B5" s="38">
        <v>1</v>
      </c>
      <c r="C5" s="38">
        <v>0</v>
      </c>
      <c r="D5" s="38"/>
      <c r="E5" s="39">
        <f t="shared" si="0"/>
        <v>24.226692766289887</v>
      </c>
      <c r="F5" s="40">
        <f t="shared" si="1"/>
        <v>1</v>
      </c>
      <c r="G5" s="40">
        <f t="shared" si="2"/>
        <v>0.83077451058955232</v>
      </c>
      <c r="H5" s="40">
        <f t="shared" si="3"/>
        <v>0.68089166228767339</v>
      </c>
      <c r="I5" s="40">
        <f t="shared" si="4"/>
        <v>5.4321080966350799E-3</v>
      </c>
      <c r="J5" s="40">
        <f t="shared" si="5"/>
        <v>5.4320546674155581E-3</v>
      </c>
      <c r="K5" s="40">
        <f t="shared" si="6"/>
        <v>2.9507217909791151E-5</v>
      </c>
      <c r="L5" s="41">
        <f t="shared" si="7"/>
        <v>0</v>
      </c>
      <c r="O5" s="44" t="s">
        <v>15</v>
      </c>
      <c r="P5" s="43">
        <v>4.4112986557389213</v>
      </c>
    </row>
    <row r="6" spans="1:16" ht="14.4">
      <c r="O6" s="44" t="s">
        <v>16</v>
      </c>
      <c r="P6" s="43">
        <v>-1.7909228313451979</v>
      </c>
    </row>
    <row r="7" spans="1:16" ht="14.4">
      <c r="F7" s="15"/>
      <c r="O7" s="45" t="s">
        <v>3</v>
      </c>
      <c r="P7" s="43">
        <v>0.33113994065288982</v>
      </c>
    </row>
    <row r="8" spans="1:16" ht="14.4">
      <c r="O8" s="45" t="s">
        <v>4</v>
      </c>
      <c r="P8" s="43">
        <v>-2.9133784888057606</v>
      </c>
    </row>
    <row r="9" spans="1:16" ht="14.4">
      <c r="O9" s="46" t="s">
        <v>17</v>
      </c>
      <c r="P9" s="43">
        <v>-3.1864421239787082</v>
      </c>
    </row>
    <row r="10" spans="1:16" ht="14.4">
      <c r="O10" s="47" t="s">
        <v>18</v>
      </c>
      <c r="P10" s="48">
        <f>SUM(K2:K5)</f>
        <v>2.7667945530731366E-4</v>
      </c>
    </row>
    <row r="11" spans="1:16" ht="14.4">
      <c r="P11"/>
    </row>
    <row r="12" spans="1:16" ht="14.4">
      <c r="P12"/>
    </row>
    <row r="13" spans="1:16" ht="14.4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P1000"/>
  <sheetViews>
    <sheetView workbookViewId="0"/>
  </sheetViews>
  <sheetFormatPr defaultColWidth="14.44140625" defaultRowHeight="15" customHeight="1"/>
  <cols>
    <col min="1" max="3" width="9.44140625" customWidth="1"/>
    <col min="4" max="4" width="4.109375" customWidth="1"/>
    <col min="5" max="8" width="9.44140625" customWidth="1"/>
    <col min="9" max="9" width="9.44140625" style="1" customWidth="1"/>
    <col min="10" max="11" width="9.44140625" customWidth="1"/>
    <col min="12" max="12" width="14.6640625" bestFit="1" customWidth="1"/>
    <col min="13" max="13" width="8" customWidth="1"/>
    <col min="14" max="14" width="8.6640625" customWidth="1"/>
    <col min="15" max="15" width="17.5546875" customWidth="1"/>
    <col min="16" max="16" width="12.6640625" style="1" customWidth="1"/>
    <col min="17" max="30" width="8.6640625" customWidth="1"/>
  </cols>
  <sheetData>
    <row r="1" spans="1:16" thickBot="1">
      <c r="A1" s="23" t="s">
        <v>7</v>
      </c>
      <c r="B1" s="24" t="s">
        <v>8</v>
      </c>
      <c r="C1" s="24" t="s">
        <v>9</v>
      </c>
      <c r="D1" s="25"/>
      <c r="E1" s="24" t="s">
        <v>1</v>
      </c>
      <c r="F1" s="26" t="s">
        <v>20</v>
      </c>
      <c r="G1" s="24" t="s">
        <v>2</v>
      </c>
      <c r="H1" s="26" t="s">
        <v>21</v>
      </c>
      <c r="I1" s="24" t="s">
        <v>22</v>
      </c>
      <c r="J1" s="26" t="s">
        <v>23</v>
      </c>
      <c r="K1" s="24" t="s">
        <v>0</v>
      </c>
      <c r="L1" s="27" t="s">
        <v>10</v>
      </c>
      <c r="O1" s="17" t="s">
        <v>11</v>
      </c>
      <c r="P1" s="9">
        <v>1.5398770220412612</v>
      </c>
    </row>
    <row r="2" spans="1:16" ht="14.4">
      <c r="A2" s="30">
        <v>0</v>
      </c>
      <c r="B2" s="31">
        <v>0</v>
      </c>
      <c r="C2" s="31">
        <v>0</v>
      </c>
      <c r="D2" s="31"/>
      <c r="E2" s="32">
        <f>P$1*A2+P$2*B2+P$7</f>
        <v>-2.5697348668369906</v>
      </c>
      <c r="F2" s="33" cm="1">
        <f t="array" ref="F2">_xlfn.IFS($P$16="Sigmoid",1/(1+EXP(-E2)),$P$16="Tanh",TANH(E2))</f>
        <v>-0.98834670425169879</v>
      </c>
      <c r="G2" s="33">
        <f>P$3*A2+P$4*B2+P$8</f>
        <v>-0.51001917666160757</v>
      </c>
      <c r="H2" s="33" cm="1">
        <f t="array" ref="H2">_xlfn.IFS($P$16="Sigmoid",1/(1+EXP(-G2)),$P$16="Tanh",TANH(G2))</f>
        <v>-0.46996014032323258</v>
      </c>
      <c r="I2" s="33">
        <f>F2*P$5+H2*P$6+P$9</f>
        <v>1.6578785259295792E-3</v>
      </c>
      <c r="J2" s="33" cm="1">
        <f t="array" ref="J2">_xlfn.IFS($P$16="Sigmoid",1/(1+EXP(-I2)),$P$16="Tanh",TANH(I2))</f>
        <v>1.6578770070043818E-3</v>
      </c>
      <c r="K2" s="33">
        <f>(C2-J2)^2</f>
        <v>2.7485561703538068E-6</v>
      </c>
      <c r="L2" s="34">
        <f t="shared" ref="L2:L5" si="0">IF(J2&gt;0.5,1,0)</f>
        <v>0</v>
      </c>
      <c r="O2" s="2" t="s">
        <v>12</v>
      </c>
      <c r="P2" s="10">
        <v>1.5398770222983238</v>
      </c>
    </row>
    <row r="3" spans="1:16" ht="14.4">
      <c r="A3" s="35">
        <v>0</v>
      </c>
      <c r="B3" s="20">
        <v>1</v>
      </c>
      <c r="C3" s="20">
        <v>1</v>
      </c>
      <c r="D3" s="20"/>
      <c r="E3" s="28">
        <f t="shared" ref="E3:E5" si="1">P$1*A3+P$2*B3+P$7</f>
        <v>-1.0298578445386668</v>
      </c>
      <c r="F3" s="29" cm="1">
        <f t="array" ref="F3">_xlfn.IFS($P$16="Sigmoid",1/(1+EXP(-E3)),$P$16="Tanh",TANH(E3))</f>
        <v>-0.77385131987774647</v>
      </c>
      <c r="G3" s="29">
        <f t="shared" ref="G3:G5" si="2">P$3*A3+P$4*B3+P$8</f>
        <v>1.0298578547341721</v>
      </c>
      <c r="H3" s="29" cm="1">
        <f t="array" ref="H3">_xlfn.IFS($P$16="Sigmoid",1/(1+EXP(-G3)),$P$16="Tanh",TANH(G3))</f>
        <v>0.77385132396771561</v>
      </c>
      <c r="I3" s="29">
        <f>F3*P$5+H3*P$6+P$9</f>
        <v>2.1094599644999947</v>
      </c>
      <c r="J3" s="29" cm="1">
        <f t="array" ref="J3">_xlfn.IFS($P$16="Sigmoid",1/(1+EXP(-I3)),$P$16="Tanh",TANH(I3))</f>
        <v>0.97099769788365697</v>
      </c>
      <c r="K3" s="29">
        <f>(C3-J3)^2</f>
        <v>8.4113352804763522E-4</v>
      </c>
      <c r="L3" s="36">
        <f t="shared" si="0"/>
        <v>1</v>
      </c>
      <c r="O3" s="2" t="s">
        <v>13</v>
      </c>
      <c r="P3" s="10">
        <v>1.5398770276899181</v>
      </c>
    </row>
    <row r="4" spans="1:16" ht="14.4">
      <c r="A4" s="35">
        <v>1</v>
      </c>
      <c r="B4" s="20">
        <v>0</v>
      </c>
      <c r="C4" s="20">
        <v>1</v>
      </c>
      <c r="D4" s="20"/>
      <c r="E4" s="28">
        <f t="shared" si="1"/>
        <v>-1.0298578447957294</v>
      </c>
      <c r="F4" s="29" cm="1">
        <f t="array" ref="F4">_xlfn.IFS($P$16="Sigmoid",1/(1+EXP(-E4)),$P$16="Tanh",TANH(E4))</f>
        <v>-0.7738513199808682</v>
      </c>
      <c r="G4" s="29">
        <f t="shared" si="2"/>
        <v>1.0298578510283105</v>
      </c>
      <c r="H4" s="29" cm="1">
        <f t="array" ref="H4">_xlfn.IFS($P$16="Sigmoid",1/(1+EXP(-G4)),$P$16="Tanh",TANH(G4))</f>
        <v>0.77385132248109401</v>
      </c>
      <c r="I4" s="29">
        <f>F4*P$5+H4*P$6+P$9</f>
        <v>2.1094599616669059</v>
      </c>
      <c r="J4" s="29" cm="1">
        <f t="array" ref="J4">_xlfn.IFS($P$16="Sigmoid",1/(1+EXP(-I4)),$P$16="Tanh",TANH(I4))</f>
        <v>0.97099769772170752</v>
      </c>
      <c r="K4" s="29">
        <f>(C4-J4)^2</f>
        <v>8.4113353744144919E-4</v>
      </c>
      <c r="L4" s="36">
        <f t="shared" si="0"/>
        <v>1</v>
      </c>
      <c r="O4" s="2" t="s">
        <v>14</v>
      </c>
      <c r="P4" s="10">
        <v>1.5398770313957797</v>
      </c>
    </row>
    <row r="5" spans="1:16" thickBot="1">
      <c r="A5" s="37">
        <v>1</v>
      </c>
      <c r="B5" s="38">
        <v>1</v>
      </c>
      <c r="C5" s="38">
        <v>0</v>
      </c>
      <c r="D5" s="38"/>
      <c r="E5" s="39">
        <f t="shared" si="1"/>
        <v>0.51001917750259418</v>
      </c>
      <c r="F5" s="40" cm="1">
        <f t="array" ref="F5">_xlfn.IFS($P$16="Sigmoid",1/(1+EXP(-E5)),$P$16="Tanh",TANH(E5))</f>
        <v>0.46996014097847677</v>
      </c>
      <c r="G5" s="40">
        <f t="shared" si="2"/>
        <v>2.5697348824240898</v>
      </c>
      <c r="H5" s="40" cm="1">
        <f t="array" ref="H5">_xlfn.IFS($P$16="Sigmoid",1/(1+EXP(-G5)),$P$16="Tanh",TANH(G5))</f>
        <v>0.98834670461286422</v>
      </c>
      <c r="I5" s="40">
        <f>F5*P$5+H5*P$6+P$9</f>
        <v>1.6578780408957883E-3</v>
      </c>
      <c r="J5" s="40" cm="1">
        <f t="array" ref="J5">_xlfn.IFS($P$16="Sigmoid",1/(1+EXP(-I5)),$P$16="Tanh",TANH(I5))</f>
        <v>1.6578765219719242E-3</v>
      </c>
      <c r="K5" s="40">
        <f>(C5-J5)^2</f>
        <v>2.7485545621057241E-6</v>
      </c>
      <c r="L5" s="41">
        <f t="shared" si="0"/>
        <v>0</v>
      </c>
      <c r="O5" s="2" t="s">
        <v>15</v>
      </c>
      <c r="P5" s="10">
        <v>-2.0477695112312837</v>
      </c>
    </row>
    <row r="6" spans="1:16" ht="14.4">
      <c r="O6" s="2" t="s">
        <v>16</v>
      </c>
      <c r="P6" s="10">
        <v>2.0477695113116319</v>
      </c>
    </row>
    <row r="7" spans="1:16" ht="14.4">
      <c r="F7" s="15"/>
      <c r="O7" s="3" t="s">
        <v>3</v>
      </c>
      <c r="P7" s="10">
        <v>-2.5697348668369906</v>
      </c>
    </row>
    <row r="8" spans="1:16" ht="14.4">
      <c r="O8" s="3" t="s">
        <v>4</v>
      </c>
      <c r="P8" s="10">
        <v>-0.51001917666160757</v>
      </c>
    </row>
    <row r="9" spans="1:16" thickBot="1">
      <c r="O9" s="4" t="s">
        <v>17</v>
      </c>
      <c r="P9" s="11">
        <v>-1.0598783220809702</v>
      </c>
    </row>
    <row r="10" spans="1:16" thickBot="1">
      <c r="O10" s="5" t="s">
        <v>18</v>
      </c>
      <c r="P10" s="12">
        <f>SUM(K2:K5)</f>
        <v>1.6877641762215439E-3</v>
      </c>
    </row>
    <row r="11" spans="1:16" ht="14.4">
      <c r="O11" s="16" t="s">
        <v>24</v>
      </c>
      <c r="P11" s="8">
        <v>0.01</v>
      </c>
    </row>
    <row r="12" spans="1:16" thickBot="1">
      <c r="O12" s="6" t="s">
        <v>5</v>
      </c>
      <c r="P12" s="13">
        <f>P11*SUMSQ(P1:P6)/12</f>
        <v>1.4893004134688602E-2</v>
      </c>
    </row>
    <row r="13" spans="1:16" thickBot="1">
      <c r="O13" s="7" t="s">
        <v>6</v>
      </c>
      <c r="P13" s="14">
        <f>P10+P12</f>
        <v>1.6580768310910148E-2</v>
      </c>
    </row>
    <row r="14" spans="1:16" ht="15" customHeight="1" thickBot="1"/>
    <row r="15" spans="1:16" ht="15" customHeight="1" thickBot="1">
      <c r="O15" s="18" t="s">
        <v>19</v>
      </c>
      <c r="P15" s="19">
        <v>1E-3</v>
      </c>
    </row>
    <row r="16" spans="1:16" ht="15" customHeight="1" thickBot="1">
      <c r="O16" s="22" t="s">
        <v>25</v>
      </c>
      <c r="P16" s="21" t="s">
        <v>26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 count="1">
    <dataValidation type="list" allowBlank="1" showInputMessage="1" showErrorMessage="1" sqref="P16" xr:uid="{38F21846-DAD6-4088-943C-25833FEB7353}">
      <formula1>"Sigmoid, Tanh"</formula1>
    </dataValidation>
  </dataValidations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XOR Problem MLP (Clean)</vt:lpstr>
      <vt:lpstr>XOR Problem MLP</vt:lpstr>
      <vt:lpstr>'XOR Problem MLP'!solver_lhs1</vt:lpstr>
      <vt:lpstr>'XOR Problem MLP (Clean)'!solver_lhs1</vt:lpstr>
      <vt:lpstr>'XOR Problem MLP'!solver_lhs2</vt:lpstr>
      <vt:lpstr>'XOR Problem MLP (Clean)'!solver_lhs2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Spogis</dc:creator>
  <cp:lastModifiedBy>Nicolas Spogis</cp:lastModifiedBy>
  <dcterms:created xsi:type="dcterms:W3CDTF">2024-06-06T22:06:36Z</dcterms:created>
  <dcterms:modified xsi:type="dcterms:W3CDTF">2024-06-07T19:49:44Z</dcterms:modified>
</cp:coreProperties>
</file>